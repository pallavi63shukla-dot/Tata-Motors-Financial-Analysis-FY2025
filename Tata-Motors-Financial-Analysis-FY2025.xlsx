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la\Downloads\"/>
    </mc:Choice>
  </mc:AlternateContent>
  <xr:revisionPtr revIDLastSave="0" documentId="13_ncr:1_{6E177D1E-CB45-4560-9A6E-8BE151F3C15E}" xr6:coauthVersionLast="47" xr6:coauthVersionMax="47" xr10:uidLastSave="{00000000-0000-0000-0000-000000000000}"/>
  <bookViews>
    <workbookView xWindow="-108" yWindow="-108" windowWidth="23256" windowHeight="12456" activeTab="4" xr2:uid="{B81826CE-AEC0-4CD6-9401-1DAB336FF850}"/>
  </bookViews>
  <sheets>
    <sheet name="Raw Data" sheetId="1" r:id="rId1"/>
    <sheet name="Working Capital" sheetId="5" r:id="rId2"/>
    <sheet name="KPI Calculations" sheetId="2" r:id="rId3"/>
    <sheet name="Dashboard" sheetId="3" r:id="rId4"/>
    <sheet name="Insight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C10" i="2"/>
  <c r="B10" i="2"/>
  <c r="C9" i="2"/>
  <c r="B9" i="2"/>
  <c r="B11" i="2" s="1"/>
  <c r="C8" i="2"/>
  <c r="B8" i="2"/>
  <c r="C6" i="2"/>
  <c r="C7" i="2"/>
  <c r="C5" i="2"/>
  <c r="C4" i="2"/>
  <c r="A5" i="3" s="1"/>
  <c r="D10" i="2" l="1"/>
  <c r="E9" i="3"/>
  <c r="C11" i="2"/>
  <c r="C9" i="3"/>
  <c r="D9" i="2"/>
  <c r="A9" i="3"/>
  <c r="D8" i="2"/>
  <c r="D6" i="2"/>
  <c r="E5" i="3"/>
  <c r="G5" i="3"/>
  <c r="D7" i="2"/>
  <c r="C5" i="3"/>
  <c r="D5" i="2"/>
  <c r="D11" i="2" l="1"/>
  <c r="G9" i="3"/>
</calcChain>
</file>

<file path=xl/sharedStrings.xml><?xml version="1.0" encoding="utf-8"?>
<sst xmlns="http://schemas.openxmlformats.org/spreadsheetml/2006/main" count="95" uniqueCount="76">
  <si>
    <t>Metric</t>
  </si>
  <si>
    <t>FY2024</t>
  </si>
  <si>
    <t>FY2025</t>
  </si>
  <si>
    <t>EBITDA</t>
  </si>
  <si>
    <t>EBIT</t>
  </si>
  <si>
    <t>Profit After Tax</t>
  </si>
  <si>
    <t>Revenue</t>
  </si>
  <si>
    <t>EBITDA Margin</t>
  </si>
  <si>
    <t>ROCE</t>
  </si>
  <si>
    <t xml:space="preserve"> Auto Free Cash Flow</t>
  </si>
  <si>
    <t>Tata Motors — Consolidated Financial Data</t>
  </si>
  <si>
    <t>Tata Motors — Working Capital Data</t>
  </si>
  <si>
    <t>FY2023</t>
  </si>
  <si>
    <t>Trade Receivables</t>
  </si>
  <si>
    <t>Inventory</t>
  </si>
  <si>
    <t>Trade Payables</t>
  </si>
  <si>
    <t>Raw Material Consumed</t>
  </si>
  <si>
    <t xml:space="preserve">Revenue </t>
  </si>
  <si>
    <t>KPI</t>
  </si>
  <si>
    <t>Change</t>
  </si>
  <si>
    <t>Revenue Growth</t>
  </si>
  <si>
    <t>DSO</t>
  </si>
  <si>
    <t>DIO</t>
  </si>
  <si>
    <t>DPO</t>
  </si>
  <si>
    <t>CCC</t>
  </si>
  <si>
    <t>Tata  — KPI Analysis</t>
  </si>
  <si>
    <t>Tata Motors — Executive KPI Dashboard</t>
  </si>
  <si>
    <t>Consolidated | FY2024 vs FY2025</t>
  </si>
  <si>
    <t>Tata Motors — Management Insights</t>
  </si>
  <si>
    <t>Area</t>
  </si>
  <si>
    <t>Analyst Observation</t>
  </si>
  <si>
    <t>Profitability</t>
  </si>
  <si>
    <t>Working Capital</t>
  </si>
  <si>
    <t>Capital Efficiency</t>
  </si>
  <si>
    <t>Overall Assessment</t>
  </si>
  <si>
    <r>
      <t xml:space="preserve">Profitability weakened in FY2025. EBITDA margin declined from </t>
    </r>
    <r>
      <rPr>
        <b/>
        <sz val="16"/>
        <color theme="1"/>
        <rFont val="Aptos Narrow"/>
        <family val="2"/>
        <scheme val="minor"/>
      </rPr>
      <t>14.10%</t>
    </r>
    <r>
      <rPr>
        <sz val="16"/>
        <color theme="1"/>
        <rFont val="Aptos Narrow"/>
        <family val="2"/>
        <scheme val="minor"/>
      </rPr>
      <t xml:space="preserve"> to </t>
    </r>
    <r>
      <rPr>
        <b/>
        <sz val="16"/>
        <color theme="1"/>
        <rFont val="Aptos Narrow"/>
        <family val="2"/>
        <scheme val="minor"/>
      </rPr>
      <t>13.11%</t>
    </r>
    <r>
      <rPr>
        <sz val="16"/>
        <color theme="1"/>
        <rFont val="Aptos Narrow"/>
        <family val="2"/>
        <scheme val="minor"/>
      </rPr>
      <t xml:space="preserve">, while net profit margin declined from </t>
    </r>
    <r>
      <rPr>
        <b/>
        <sz val="16"/>
        <color theme="1"/>
        <rFont val="Aptos Narrow"/>
        <family val="2"/>
        <scheme val="minor"/>
      </rPr>
      <t>7.33%</t>
    </r>
    <r>
      <rPr>
        <sz val="16"/>
        <color theme="1"/>
        <rFont val="Aptos Narrow"/>
        <family val="2"/>
        <scheme val="minor"/>
      </rPr>
      <t xml:space="preserve"> to</t>
    </r>
    <r>
      <rPr>
        <b/>
        <sz val="16"/>
        <color theme="1"/>
        <rFont val="Aptos Narrow"/>
        <family val="2"/>
        <scheme val="minor"/>
      </rPr>
      <t xml:space="preserve"> 6.40%,</t>
    </r>
    <r>
      <rPr>
        <sz val="16"/>
        <color theme="1"/>
        <rFont val="Aptos Narrow"/>
        <family val="2"/>
        <scheme val="minor"/>
      </rPr>
      <t xml:space="preserve"> indicating pressure on operating and bottom-line profitability.</t>
    </r>
  </si>
  <si>
    <r>
      <t xml:space="preserve">DSO improved from </t>
    </r>
    <r>
      <rPr>
        <b/>
        <sz val="16"/>
        <color theme="1"/>
        <rFont val="Aptos Narrow"/>
        <family val="2"/>
        <scheme val="minor"/>
      </rPr>
      <t>13.75 to 12.53</t>
    </r>
    <r>
      <rPr>
        <sz val="16"/>
        <color theme="1"/>
        <rFont val="Aptos Narrow"/>
        <family val="2"/>
        <scheme val="minor"/>
      </rPr>
      <t xml:space="preserve"> days, while DIO increased from</t>
    </r>
    <r>
      <rPr>
        <b/>
        <sz val="16"/>
        <color theme="1"/>
        <rFont val="Aptos Narrow"/>
        <family val="2"/>
        <scheme val="minor"/>
      </rPr>
      <t xml:space="preserve"> 59.24 to 63.83 </t>
    </r>
    <r>
      <rPr>
        <sz val="16"/>
        <color theme="1"/>
        <rFont val="Aptos Narrow"/>
        <family val="2"/>
        <scheme val="minor"/>
      </rPr>
      <t xml:space="preserve">days. DPO increased from </t>
    </r>
    <r>
      <rPr>
        <b/>
        <sz val="16"/>
        <color theme="1"/>
        <rFont val="Aptos Narrow"/>
        <family val="2"/>
        <scheme val="minor"/>
      </rPr>
      <t>107.12 to 121.99</t>
    </r>
    <r>
      <rPr>
        <sz val="16"/>
        <color theme="1"/>
        <rFont val="Aptos Narrow"/>
        <family val="2"/>
        <scheme val="minor"/>
      </rPr>
      <t xml:space="preserve"> days, resulting in a more negative CCC of</t>
    </r>
    <r>
      <rPr>
        <b/>
        <sz val="16"/>
        <color theme="1"/>
        <rFont val="Aptos Narrow"/>
        <family val="2"/>
        <scheme val="minor"/>
      </rPr>
      <t xml:space="preserve"> -45.62</t>
    </r>
    <r>
      <rPr>
        <sz val="16"/>
        <color theme="1"/>
        <rFont val="Aptos Narrow"/>
        <family val="2"/>
        <scheme val="minor"/>
      </rPr>
      <t xml:space="preserve"> days.</t>
    </r>
  </si>
  <si>
    <r>
      <t xml:space="preserve">ROCE declined from </t>
    </r>
    <r>
      <rPr>
        <b/>
        <sz val="16"/>
        <color theme="1"/>
        <rFont val="Aptos Narrow"/>
        <family val="2"/>
        <scheme val="minor"/>
      </rPr>
      <t>18.70%</t>
    </r>
    <r>
      <rPr>
        <sz val="16"/>
        <color theme="1"/>
        <rFont val="Aptos Narrow"/>
        <family val="2"/>
        <scheme val="minor"/>
      </rPr>
      <t xml:space="preserve"> to </t>
    </r>
    <r>
      <rPr>
        <b/>
        <sz val="16"/>
        <color theme="1"/>
        <rFont val="Aptos Narrow"/>
        <family val="2"/>
        <scheme val="minor"/>
      </rPr>
      <t>17.60%,</t>
    </r>
    <r>
      <rPr>
        <sz val="16"/>
        <color theme="1"/>
        <rFont val="Aptos Narrow"/>
        <family val="2"/>
        <scheme val="minor"/>
      </rPr>
      <t xml:space="preserve"> indicating a modest deterioration in the efficiency of capital employed.</t>
    </r>
  </si>
  <si>
    <r>
      <t xml:space="preserve">Overall, FY2025 showed modest revenue growth but weaker profitability and ROCE. Working-capital indicators were mixed, with </t>
    </r>
    <r>
      <rPr>
        <b/>
        <sz val="16"/>
        <color theme="1"/>
        <rFont val="Aptos Narrow"/>
        <family val="2"/>
        <scheme val="minor"/>
      </rPr>
      <t xml:space="preserve">improved collections </t>
    </r>
    <r>
      <rPr>
        <sz val="16"/>
        <color theme="1"/>
        <rFont val="Aptos Narrow"/>
        <family val="2"/>
        <scheme val="minor"/>
      </rPr>
      <t>and</t>
    </r>
    <r>
      <rPr>
        <b/>
        <sz val="16"/>
        <color theme="1"/>
        <rFont val="Aptos Narrow"/>
        <family val="2"/>
        <scheme val="minor"/>
      </rPr>
      <t xml:space="preserve"> higher supplier payment days</t>
    </r>
    <r>
      <rPr>
        <sz val="16"/>
        <color theme="1"/>
        <rFont val="Aptos Narrow"/>
        <family val="2"/>
        <scheme val="minor"/>
      </rPr>
      <t xml:space="preserve"> partly offsetting the</t>
    </r>
    <r>
      <rPr>
        <b/>
        <sz val="16"/>
        <color theme="1"/>
        <rFont val="Aptos Narrow"/>
        <family val="2"/>
        <scheme val="minor"/>
      </rPr>
      <t xml:space="preserve"> increase in inventory days</t>
    </r>
    <r>
      <rPr>
        <sz val="16"/>
        <color theme="1"/>
        <rFont val="Aptos Narrow"/>
        <family val="2"/>
        <scheme val="minor"/>
      </rPr>
      <t xml:space="preserve">. Management should </t>
    </r>
    <r>
      <rPr>
        <b/>
        <sz val="16"/>
        <color theme="1"/>
        <rFont val="Aptos Narrow"/>
        <family val="2"/>
        <scheme val="minor"/>
      </rPr>
      <t>focus on margin protection</t>
    </r>
    <r>
      <rPr>
        <sz val="16"/>
        <color theme="1"/>
        <rFont val="Aptos Narrow"/>
        <family val="2"/>
        <scheme val="minor"/>
      </rPr>
      <t xml:space="preserve">, </t>
    </r>
    <r>
      <rPr>
        <b/>
        <sz val="16"/>
        <color theme="1"/>
        <rFont val="Aptos Narrow"/>
        <family val="2"/>
        <scheme val="minor"/>
      </rPr>
      <t xml:space="preserve">inventory efficiency </t>
    </r>
    <r>
      <rPr>
        <sz val="16"/>
        <color theme="1"/>
        <rFont val="Aptos Narrow"/>
        <family val="2"/>
        <scheme val="minor"/>
      </rPr>
      <t>and</t>
    </r>
    <r>
      <rPr>
        <b/>
        <sz val="16"/>
        <color theme="1"/>
        <rFont val="Aptos Narrow"/>
        <family val="2"/>
        <scheme val="minor"/>
      </rPr>
      <t xml:space="preserve"> sustaining strong cash conversion</t>
    </r>
    <r>
      <rPr>
        <sz val="16"/>
        <color theme="1"/>
        <rFont val="Aptos Narrow"/>
        <family val="2"/>
        <scheme val="minor"/>
      </rPr>
      <t>.</t>
    </r>
  </si>
  <si>
    <r>
      <t xml:space="preserve">Revenue increased by </t>
    </r>
    <r>
      <rPr>
        <b/>
        <sz val="16"/>
        <color theme="1"/>
        <rFont val="Aptos Narrow"/>
        <family val="2"/>
        <scheme val="minor"/>
      </rPr>
      <t>1.31%</t>
    </r>
    <r>
      <rPr>
        <sz val="16"/>
        <color theme="1"/>
        <rFont val="Aptos Narrow"/>
        <family val="2"/>
        <scheme val="minor"/>
      </rPr>
      <t xml:space="preserve"> in </t>
    </r>
    <r>
      <rPr>
        <b/>
        <sz val="16"/>
        <color theme="1"/>
        <rFont val="Aptos Narrow"/>
        <family val="2"/>
        <scheme val="minor"/>
      </rPr>
      <t>FY2025</t>
    </r>
    <r>
      <rPr>
        <sz val="16"/>
        <color theme="1"/>
        <rFont val="Aptos Narrow"/>
        <family val="2"/>
        <scheme val="minor"/>
      </rPr>
      <t xml:space="preserve">, indicating modest top-line growth compared with </t>
    </r>
    <r>
      <rPr>
        <b/>
        <sz val="16"/>
        <color theme="1"/>
        <rFont val="Aptos Narrow"/>
        <family val="2"/>
        <scheme val="minor"/>
      </rPr>
      <t>FY2024</t>
    </r>
    <r>
      <rPr>
        <sz val="16"/>
        <color theme="1"/>
        <rFont val="Aptos Narrow"/>
        <family val="2"/>
        <scheme val="minor"/>
      </rPr>
      <t>.</t>
    </r>
  </si>
  <si>
    <t>Tata Motors — Company &amp; Industry Analysis</t>
  </si>
  <si>
    <t>Analysis</t>
  </si>
  <si>
    <t>Business Model</t>
  </si>
  <si>
    <t>Key Revenue Drivers</t>
  </si>
  <si>
    <t>Industry Trends</t>
  </si>
  <si>
    <t>Growth Opportunities</t>
  </si>
  <si>
    <t>Key Risks</t>
  </si>
  <si>
    <t>Competitive Landscape</t>
  </si>
  <si>
    <r>
      <t xml:space="preserve">Tata Motors operates across passenger vehicles, commercial vehicles and Jaguar Land Rover, with exposure to both domestic and international automotive markets. Its business is therefore influenced by </t>
    </r>
    <r>
      <rPr>
        <b/>
        <sz val="16"/>
        <color theme="1"/>
        <rFont val="Aptos Narrow"/>
        <family val="2"/>
        <scheme val="minor"/>
      </rPr>
      <t>vehicle demand, product mix, pricing, commodity costs, foreign exchange and financing conditions</t>
    </r>
    <r>
      <rPr>
        <sz val="16"/>
        <color theme="1"/>
        <rFont val="Aptos Narrow"/>
        <family val="2"/>
        <scheme val="minor"/>
      </rPr>
      <t>.</t>
    </r>
  </si>
  <si>
    <r>
      <t xml:space="preserve">Key revenue drivers include </t>
    </r>
    <r>
      <rPr>
        <b/>
        <sz val="16"/>
        <color theme="1"/>
        <rFont val="Aptos Narrow"/>
        <family val="2"/>
        <scheme val="minor"/>
      </rPr>
      <t xml:space="preserve">vehicle volumes, pricing, product mix, premium vehicle demand, commercial vehicle demand, international sales </t>
    </r>
    <r>
      <rPr>
        <sz val="16"/>
        <color theme="1"/>
        <rFont val="Aptos Narrow"/>
        <family val="2"/>
        <scheme val="minor"/>
      </rPr>
      <t>and new product launches.</t>
    </r>
  </si>
  <si>
    <r>
      <t xml:space="preserve">The Indian automotive market remained resilient in </t>
    </r>
    <r>
      <rPr>
        <b/>
        <sz val="16"/>
        <color theme="1"/>
        <rFont val="Aptos Narrow"/>
        <family val="2"/>
        <scheme val="minor"/>
      </rPr>
      <t>FY2024-25</t>
    </r>
    <r>
      <rPr>
        <sz val="16"/>
        <color theme="1"/>
        <rFont val="Aptos Narrow"/>
        <family val="2"/>
        <scheme val="minor"/>
      </rPr>
      <t>, with passenger vehicles reaching record sales while commercial vehicles experienced a slight decline.</t>
    </r>
    <r>
      <rPr>
        <b/>
        <sz val="16"/>
        <color theme="1"/>
        <rFont val="Aptos Narrow"/>
        <family val="2"/>
        <scheme val="minor"/>
      </rPr>
      <t xml:space="preserve"> EV adoption, financing costs, consumer affordability</t>
    </r>
    <r>
      <rPr>
        <sz val="16"/>
        <color theme="1"/>
        <rFont val="Aptos Narrow"/>
        <family val="2"/>
        <scheme val="minor"/>
      </rPr>
      <t xml:space="preserve"> and</t>
    </r>
    <r>
      <rPr>
        <b/>
        <sz val="16"/>
        <color theme="1"/>
        <rFont val="Aptos Narrow"/>
        <family val="2"/>
        <scheme val="minor"/>
      </rPr>
      <t xml:space="preserve"> regulatory support </t>
    </r>
    <r>
      <rPr>
        <sz val="16"/>
        <color theme="1"/>
        <rFont val="Aptos Narrow"/>
        <family val="2"/>
        <scheme val="minor"/>
      </rPr>
      <t>remain important industry factors.</t>
    </r>
  </si>
  <si>
    <r>
      <t>Growth opportunities include</t>
    </r>
    <r>
      <rPr>
        <b/>
        <sz val="16"/>
        <color theme="1"/>
        <rFont val="Aptos Narrow"/>
        <family val="2"/>
        <scheme val="minor"/>
      </rPr>
      <t xml:space="preserve"> SUV and premium-vehicle demand, EV adoption, commercial-vehicle replacement demand</t>
    </r>
    <r>
      <rPr>
        <sz val="16"/>
        <color theme="1"/>
        <rFont val="Aptos Narrow"/>
        <family val="2"/>
        <scheme val="minor"/>
      </rPr>
      <t xml:space="preserve">, </t>
    </r>
    <r>
      <rPr>
        <b/>
        <sz val="16"/>
        <color theme="1"/>
        <rFont val="Aptos Narrow"/>
        <family val="2"/>
        <scheme val="minor"/>
      </rPr>
      <t>exports and new product launches</t>
    </r>
    <r>
      <rPr>
        <sz val="16"/>
        <color theme="1"/>
        <rFont val="Aptos Narrow"/>
        <family val="2"/>
        <scheme val="minor"/>
      </rPr>
      <t>.</t>
    </r>
  </si>
  <si>
    <r>
      <t xml:space="preserve">Key risks include </t>
    </r>
    <r>
      <rPr>
        <b/>
        <sz val="16"/>
        <color theme="1"/>
        <rFont val="Aptos Narrow"/>
        <family val="2"/>
        <scheme val="minor"/>
      </rPr>
      <t>commodity-price volatility, intense competition, foreign-exchange movements, changes in interest rates, supply-chain disruptions</t>
    </r>
    <r>
      <rPr>
        <sz val="16"/>
        <color theme="1"/>
        <rFont val="Aptos Narrow"/>
        <family val="2"/>
        <scheme val="minor"/>
      </rPr>
      <t xml:space="preserve"> and the pace and cost of electrification.</t>
    </r>
  </si>
  <si>
    <r>
      <t xml:space="preserve">Tata Motors competes across multiple automotive segments, with major Indian competitors including </t>
    </r>
    <r>
      <rPr>
        <b/>
        <sz val="16"/>
        <color theme="1"/>
        <rFont val="Aptos Narrow"/>
        <family val="2"/>
        <scheme val="minor"/>
      </rPr>
      <t>Maruti Suzuki</t>
    </r>
    <r>
      <rPr>
        <sz val="16"/>
        <color theme="1"/>
        <rFont val="Aptos Narrow"/>
        <family val="2"/>
        <scheme val="minor"/>
      </rPr>
      <t xml:space="preserve"> and </t>
    </r>
    <r>
      <rPr>
        <b/>
        <sz val="16"/>
        <color theme="1"/>
        <rFont val="Aptos Narrow"/>
        <family val="2"/>
        <scheme val="minor"/>
      </rPr>
      <t>Mahindra &amp; Mahindra</t>
    </r>
    <r>
      <rPr>
        <sz val="16"/>
        <color theme="1"/>
        <rFont val="Aptos Narrow"/>
        <family val="2"/>
        <scheme val="minor"/>
      </rPr>
      <t xml:space="preserve"> in passenger vehicles and </t>
    </r>
    <r>
      <rPr>
        <b/>
        <sz val="16"/>
        <color theme="1"/>
        <rFont val="Aptos Narrow"/>
        <family val="2"/>
        <scheme val="minor"/>
      </rPr>
      <t>Ashok Leyland in commercial vehicles</t>
    </r>
    <r>
      <rPr>
        <sz val="16"/>
        <color theme="1"/>
        <rFont val="Aptos Narrow"/>
        <family val="2"/>
        <scheme val="minor"/>
      </rPr>
      <t>. Competitive intensity is particularly important in SUVs, EVs and commercial vehicles.</t>
    </r>
  </si>
  <si>
    <t>Competitive Snapshot — FY2025</t>
  </si>
  <si>
    <t>Tata Motors</t>
  </si>
  <si>
    <t>Mahindra &amp; Mahindra</t>
  </si>
  <si>
    <t>Maruti Suzuki</t>
  </si>
  <si>
    <t>Revenue / Income from Operations (₹ Cr)</t>
  </si>
  <si>
    <t>PAT (₹ Cr)</t>
  </si>
  <si>
    <t>Key Position</t>
  </si>
  <si>
    <t>PV + CV + JLR</t>
  </si>
  <si>
    <t>SUV + LCV + Farm</t>
  </si>
  <si>
    <t>Passenger Vehicles</t>
  </si>
  <si>
    <t>Key Takeaways</t>
  </si>
  <si>
    <t>Finding</t>
  </si>
  <si>
    <t>Implication</t>
  </si>
  <si>
    <t>Tata Motors has the largest revenue base</t>
  </si>
  <si>
    <t>Strong scale and diversified operations</t>
  </si>
  <si>
    <t>M&amp;M has faster revenue growth</t>
  </si>
  <si>
    <t>Stronger recent growth momentum</t>
  </si>
  <si>
    <t>Maruti has strong passenger-vehicle positioning</t>
  </si>
  <si>
    <t>Strong competitive position in India's PV market</t>
  </si>
  <si>
    <t>Tata Motors' margins declined</t>
  </si>
  <si>
    <t>Margin protection should remain a management priority</t>
  </si>
  <si>
    <t>PAT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</si>
</sst>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 \p\p"/>
    <numFmt numFmtId="165" formatCode="0.00\ &quot;days&quot;\ "/>
    <numFmt numFmtId="166" formatCode="0.00\ &quot;Days&quot;\ 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22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10" fontId="0" fillId="0" borderId="0" xfId="0" applyNumberFormat="1"/>
    <xf numFmtId="10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right" vertical="center" wrapText="1"/>
    </xf>
    <xf numFmtId="10" fontId="0" fillId="0" borderId="0" xfId="1" applyNumberFormat="1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6" fillId="0" borderId="0" xfId="0" applyFont="1"/>
    <xf numFmtId="0" fontId="7" fillId="0" borderId="0" xfId="0" applyFont="1"/>
    <xf numFmtId="0" fontId="15" fillId="0" borderId="0" xfId="0" applyFont="1"/>
    <xf numFmtId="166" fontId="16" fillId="0" borderId="0" xfId="0" applyNumberFormat="1" applyFont="1"/>
    <xf numFmtId="0" fontId="17" fillId="0" borderId="0" xfId="0" applyFont="1"/>
    <xf numFmtId="0" fontId="6" fillId="0" borderId="0" xfId="0" applyFont="1" applyAlignment="1">
      <alignment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20" fillId="4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166" fontId="16" fillId="0" borderId="3" xfId="0" applyNumberFormat="1" applyFont="1" applyBorder="1" applyAlignment="1">
      <alignment horizontal="center"/>
    </xf>
    <xf numFmtId="166" fontId="16" fillId="0" borderId="4" xfId="0" applyNumberFormat="1" applyFont="1" applyBorder="1" applyAlignment="1">
      <alignment horizontal="center"/>
    </xf>
    <xf numFmtId="10" fontId="17" fillId="0" borderId="3" xfId="0" applyNumberFormat="1" applyFont="1" applyBorder="1" applyAlignment="1">
      <alignment horizontal="center"/>
    </xf>
    <xf numFmtId="10" fontId="17" fillId="0" borderId="4" xfId="0" applyNumberFormat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3"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4" formatCode="#,##0.00"/>
      <alignment horizontal="right" vertical="center" textRotation="0" wrapText="1" indent="0" justifyLastLine="0" shrinkToFit="0" readingOrder="0"/>
    </dxf>
    <dxf>
      <numFmt numFmtId="4" formatCode="#,##0.00"/>
      <alignment horizontal="right" vertical="center" textRotation="0" wrapText="1" indent="0" justifyLastLine="0" shrinkToFit="0" readingOrder="0"/>
    </dxf>
    <dxf>
      <numFmt numFmtId="4" formatCode="#,##0.0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Profitability &amp; Capital Efficiency — FY2024 vs FY2025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FY2024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 Calculations'!$A$5:$A$7</c:f>
              <c:strCache>
                <c:ptCount val="3"/>
                <c:pt idx="0">
                  <c:v>EBITDA Margin</c:v>
                </c:pt>
                <c:pt idx="1">
                  <c:v>PAT Margin</c:v>
                </c:pt>
                <c:pt idx="2">
                  <c:v>ROCE</c:v>
                </c:pt>
              </c:strCache>
            </c:strRef>
          </c:cat>
          <c:val>
            <c:numRef>
              <c:f>'KPI Calculations'!$B$5:$B$7</c:f>
              <c:numCache>
                <c:formatCode>0.00%</c:formatCode>
                <c:ptCount val="3"/>
                <c:pt idx="0">
                  <c:v>0.14099941015999409</c:v>
                </c:pt>
                <c:pt idx="1">
                  <c:v>7.3285316670353165E-2</c:v>
                </c:pt>
                <c:pt idx="2">
                  <c:v>0.187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5-4FB5-A2C3-A50AF5C452AD}"/>
            </c:ext>
          </c:extLst>
        </c:ser>
        <c:ser>
          <c:idx val="1"/>
          <c:order val="1"/>
          <c:tx>
            <c:v>FY2025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 Calculations'!$A$5:$A$7</c:f>
              <c:strCache>
                <c:ptCount val="3"/>
                <c:pt idx="0">
                  <c:v>EBITDA Margin</c:v>
                </c:pt>
                <c:pt idx="1">
                  <c:v>PAT Margin</c:v>
                </c:pt>
                <c:pt idx="2">
                  <c:v>ROCE</c:v>
                </c:pt>
              </c:strCache>
            </c:strRef>
          </c:cat>
          <c:val>
            <c:numRef>
              <c:f>'KPI Calculations'!$C$5:$C$7</c:f>
              <c:numCache>
                <c:formatCode>0.00%</c:formatCode>
                <c:ptCount val="3"/>
                <c:pt idx="0">
                  <c:v>0.13111133854148899</c:v>
                </c:pt>
                <c:pt idx="1">
                  <c:v>6.4019377068194994E-2</c:v>
                </c:pt>
                <c:pt idx="2">
                  <c:v>0.17599999999999999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35-4FB5-A2C3-A50AF5C452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2300959"/>
        <c:axId val="1345391823"/>
      </c:barChart>
      <c:catAx>
        <c:axId val="12230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391823"/>
        <c:crosses val="autoZero"/>
        <c:auto val="1"/>
        <c:lblAlgn val="ctr"/>
        <c:lblOffset val="100"/>
        <c:noMultiLvlLbl val="0"/>
      </c:catAx>
      <c:valAx>
        <c:axId val="1345391823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2230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Working Capital Days — FY2024 vs FY2025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FY2024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 Calculations'!$A$8:$A$10</c:f>
              <c:strCache>
                <c:ptCount val="3"/>
                <c:pt idx="0">
                  <c:v>DSO</c:v>
                </c:pt>
                <c:pt idx="1">
                  <c:v>DIO</c:v>
                </c:pt>
                <c:pt idx="2">
                  <c:v>DPO</c:v>
                </c:pt>
              </c:strCache>
            </c:strRef>
          </c:cat>
          <c:val>
            <c:numRef>
              <c:f>'KPI Calculations'!$B$8:$B$10</c:f>
              <c:numCache>
                <c:formatCode>0.00</c:formatCode>
                <c:ptCount val="3"/>
                <c:pt idx="0">
                  <c:v>13.745771699660841</c:v>
                </c:pt>
                <c:pt idx="1">
                  <c:v>59.244303968716324</c:v>
                </c:pt>
                <c:pt idx="2">
                  <c:v>107.12156116260815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E-4E15-A7F4-1DA2A0D1A4EC}"/>
            </c:ext>
          </c:extLst>
        </c:ser>
        <c:ser>
          <c:idx val="1"/>
          <c:order val="1"/>
          <c:tx>
            <c:v>FY2025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 Calculations'!$A$8:$A$10</c:f>
              <c:strCache>
                <c:ptCount val="3"/>
                <c:pt idx="0">
                  <c:v>DSO</c:v>
                </c:pt>
                <c:pt idx="1">
                  <c:v>DIO</c:v>
                </c:pt>
                <c:pt idx="2">
                  <c:v>DPO</c:v>
                </c:pt>
              </c:strCache>
            </c:strRef>
          </c:cat>
          <c:val>
            <c:numRef>
              <c:f>'KPI Calculations'!$C$8:$C$10</c:f>
              <c:numCache>
                <c:formatCode>0.00</c:formatCode>
                <c:ptCount val="3"/>
                <c:pt idx="0">
                  <c:v>12.534746415128669</c:v>
                </c:pt>
                <c:pt idx="1">
                  <c:v>63.829466657590906</c:v>
                </c:pt>
                <c:pt idx="2">
                  <c:v>121.98782635970949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BE-4E15-A7F4-1DA2A0D1A4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1766479"/>
        <c:axId val="1885048559"/>
      </c:barChart>
      <c:catAx>
        <c:axId val="8176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048559"/>
        <c:crosses val="autoZero"/>
        <c:auto val="1"/>
        <c:lblAlgn val="ctr"/>
        <c:lblOffset val="100"/>
        <c:noMultiLvlLbl val="0"/>
      </c:catAx>
      <c:valAx>
        <c:axId val="18850485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8176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624960</xdr:colOff>
      <xdr:row>10</xdr:row>
      <xdr:rowOff>85209</xdr:rowOff>
    </xdr:from>
    <xdr:to>
      <xdr:col>3</xdr:col>
      <xdr:colOff>1495778</xdr:colOff>
      <xdr:row>29</xdr:row>
      <xdr:rowOff>98778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B87CC0-9287-4ECE-AD60-4F344F261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390928</xdr:colOff>
      <xdr:row>10</xdr:row>
      <xdr:rowOff>103559</xdr:rowOff>
    </xdr:from>
    <xdr:to>
      <xdr:col>7</xdr:col>
      <xdr:colOff>1200418</xdr:colOff>
      <xdr:row>29</xdr:row>
      <xdr:rowOff>90262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1E4A26-4A72-4178-9270-B2CFD3DFF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3D071E-DDF5-466E-812A-5AAC120DC845}" name="Table1" displayName="Table1" ref="A3:C9" totalsRowShown="0">
  <autoFilter ref="A3:C9" xr:uid="{853D071E-DDF5-466E-812A-5AAC120DC845}"/>
  <tableColumns count="3">
    <tableColumn id="1" xr3:uid="{107ABAEE-C858-4D12-BA61-E03014869263}" name="Metric"/>
    <tableColumn id="2" xr3:uid="{95E03FD5-FFFE-48E9-B3B7-375B84A0EF79}" name="FY2024" dataDxfId="13"/>
    <tableColumn id="3" xr3:uid="{18151A23-B245-474E-A710-0C27982022D1}" name="FY2025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863187-63A2-4516-822E-079497F5F457}" name="Table4" displayName="Table4" ref="A3:D8" totalsRowShown="0" headerRowDxfId="11" dataDxfId="10">
  <autoFilter ref="A3:D8" xr:uid="{F8863187-63A2-4516-822E-079497F5F457}"/>
  <tableColumns count="4">
    <tableColumn id="1" xr3:uid="{89F6FB36-32ED-4C13-9534-FE088B0BE394}" name="Metric" dataDxfId="9"/>
    <tableColumn id="2" xr3:uid="{41FD5B84-2EEC-4E7D-BEAC-0FE0FAE7DD24}" name="FY2023" dataDxfId="8"/>
    <tableColumn id="3" xr3:uid="{1E1CD3E7-004E-42A5-8B40-B003C7464F0E}" name="FY2024" dataDxfId="7"/>
    <tableColumn id="4" xr3:uid="{EE27444D-4B8A-4592-ACD3-5AE532E3789B}" name="FY2025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206DBA-6FE2-489D-AEF5-B2177FDBE2B5}" name="Table5" displayName="Table5" ref="A3:D11" totalsRowShown="0" headerRowDxfId="5">
  <autoFilter ref="A3:D11" xr:uid="{CA206DBA-6FE2-489D-AEF5-B2177FDBE2B5}"/>
  <tableColumns count="4">
    <tableColumn id="1" xr3:uid="{C48B6B6B-CA36-4EAD-9B9B-C8FC420EDD7D}" name="KPI" dataDxfId="4"/>
    <tableColumn id="2" xr3:uid="{6AA4A5D4-C97B-47EE-8D9D-0F2DC664A3ED}" name="FY2024"/>
    <tableColumn id="3" xr3:uid="{8008AD6D-2D5C-44B4-97B7-5617077C5B65}" name="FY2025"/>
    <tableColumn id="4" xr3:uid="{7F9AE167-545C-497F-A80F-82B4B6D1023D}" name="Chan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A55C1A-A454-4C77-84C3-397F0A11DB93}" name="Table6" displayName="Table6" ref="A4:B9" totalsRowShown="0" headerRowDxfId="22" dataDxfId="21">
  <autoFilter ref="A4:B9" xr:uid="{1CA55C1A-A454-4C77-84C3-397F0A11DB93}"/>
  <tableColumns count="2">
    <tableColumn id="1" xr3:uid="{696ED663-6B09-4953-99DE-DC5E411A1990}" name="Area" dataDxfId="20"/>
    <tableColumn id="2" xr3:uid="{D1393999-5DD3-432F-B378-85AF8F297CE6}" name="Analyst Observation" dataDxfId="19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210EA1-F719-460F-AF6D-C122DF87CC48}" name="Table7" displayName="Table7" ref="A14:B20" totalsRowShown="0" headerRowDxfId="18" dataDxfId="17">
  <autoFilter ref="A14:B20" xr:uid="{C2210EA1-F719-460F-AF6D-C122DF87CC48}"/>
  <tableColumns count="2">
    <tableColumn id="1" xr3:uid="{A977D642-7BDA-4D85-BEA7-3F03D909DDEB}" name="Area" dataDxfId="16"/>
    <tableColumn id="2" xr3:uid="{093399D0-B970-432D-919A-A68B1D102C5F}" name="Analysis" dataDxfId="15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C260AA1-06ED-41B6-82C6-025DBB6B3753}" name="Table8" displayName="Table8" ref="D4:G8" totalsRowShown="0" headerRowDxfId="14">
  <autoFilter ref="D4:G8" xr:uid="{AC260AA1-06ED-41B6-82C6-025DBB6B3753}"/>
  <tableColumns count="4">
    <tableColumn id="1" xr3:uid="{FACD089D-1B48-4B5D-AEB6-B9DC9AD87859}" name="Metric" dataDxfId="3"/>
    <tableColumn id="2" xr3:uid="{C4709414-CD69-49DF-8437-32A86961A276}" name="Tata Motors" dataDxfId="2"/>
    <tableColumn id="3" xr3:uid="{B9A57C2A-719E-4D11-AD3C-81D94A5D43BA}" name="Mahindra &amp; Mahindra" dataDxfId="1"/>
    <tableColumn id="4" xr3:uid="{BC4E584C-38B1-423D-91CB-222564B17C42}" name="Maruti Suzuki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EEE3-5F35-4EBC-A38D-FEFFA7F3754C}">
  <dimension ref="A1:C9"/>
  <sheetViews>
    <sheetView workbookViewId="0">
      <selection activeCell="G19" sqref="G19"/>
    </sheetView>
  </sheetViews>
  <sheetFormatPr defaultRowHeight="14.4" x14ac:dyDescent="0.3"/>
  <cols>
    <col min="1" max="1" width="27.88671875" customWidth="1"/>
    <col min="2" max="3" width="22" customWidth="1"/>
  </cols>
  <sheetData>
    <row r="1" spans="1:3" x14ac:dyDescent="0.3">
      <c r="A1" s="33" t="s">
        <v>10</v>
      </c>
      <c r="B1" s="34"/>
      <c r="C1" s="34"/>
    </row>
    <row r="2" spans="1:3" x14ac:dyDescent="0.3">
      <c r="A2" s="34"/>
      <c r="B2" s="34"/>
      <c r="C2" s="34"/>
    </row>
    <row r="3" spans="1:3" x14ac:dyDescent="0.3">
      <c r="A3" s="2" t="s">
        <v>0</v>
      </c>
      <c r="B3" s="2" t="s">
        <v>1</v>
      </c>
      <c r="C3" s="2" t="s">
        <v>2</v>
      </c>
    </row>
    <row r="4" spans="1:3" x14ac:dyDescent="0.3">
      <c r="A4" s="3" t="s">
        <v>6</v>
      </c>
      <c r="B4" s="1">
        <v>434016</v>
      </c>
      <c r="C4" s="1">
        <v>439695</v>
      </c>
    </row>
    <row r="5" spans="1:3" x14ac:dyDescent="0.3">
      <c r="A5" s="3" t="s">
        <v>3</v>
      </c>
      <c r="B5" s="1">
        <v>61196</v>
      </c>
      <c r="C5" s="1">
        <v>57649</v>
      </c>
    </row>
    <row r="6" spans="1:3" x14ac:dyDescent="0.3">
      <c r="A6" s="3" t="s">
        <v>5</v>
      </c>
      <c r="B6" s="1">
        <v>31807</v>
      </c>
      <c r="C6" s="1">
        <v>28149</v>
      </c>
    </row>
    <row r="7" spans="1:3" x14ac:dyDescent="0.3">
      <c r="A7" s="3" t="s">
        <v>4</v>
      </c>
      <c r="B7" s="1">
        <v>34721</v>
      </c>
      <c r="C7" s="1">
        <v>34735.61</v>
      </c>
    </row>
    <row r="8" spans="1:3" x14ac:dyDescent="0.3">
      <c r="A8" s="3" t="s">
        <v>8</v>
      </c>
      <c r="B8" s="6">
        <v>0.187</v>
      </c>
      <c r="C8" s="6">
        <v>0.17599999999999999</v>
      </c>
    </row>
    <row r="9" spans="1:3" x14ac:dyDescent="0.3">
      <c r="A9" s="3" t="s">
        <v>9</v>
      </c>
      <c r="B9" s="1">
        <v>26925</v>
      </c>
      <c r="C9" s="1">
        <v>22348</v>
      </c>
    </row>
  </sheetData>
  <mergeCells count="1">
    <mergeCell ref="A1:C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E9805-A02E-4F8A-9A66-F7D97D0D7975}">
  <dimension ref="A1:D8"/>
  <sheetViews>
    <sheetView workbookViewId="0">
      <selection activeCell="H6" sqref="H6"/>
    </sheetView>
  </sheetViews>
  <sheetFormatPr defaultRowHeight="14.4" x14ac:dyDescent="0.3"/>
  <cols>
    <col min="1" max="1" width="26.77734375" customWidth="1"/>
    <col min="2" max="4" width="20" customWidth="1"/>
  </cols>
  <sheetData>
    <row r="1" spans="1:4" x14ac:dyDescent="0.3">
      <c r="A1" s="35" t="s">
        <v>11</v>
      </c>
      <c r="B1" s="35"/>
      <c r="C1" s="35"/>
      <c r="D1" s="35"/>
    </row>
    <row r="2" spans="1:4" x14ac:dyDescent="0.3">
      <c r="A2" s="35"/>
      <c r="B2" s="35"/>
      <c r="C2" s="35"/>
      <c r="D2" s="35"/>
    </row>
    <row r="3" spans="1:4" x14ac:dyDescent="0.3">
      <c r="A3" s="2" t="s">
        <v>0</v>
      </c>
      <c r="B3" s="2" t="s">
        <v>12</v>
      </c>
      <c r="C3" s="2" t="s">
        <v>1</v>
      </c>
      <c r="D3" s="2" t="s">
        <v>2</v>
      </c>
    </row>
    <row r="4" spans="1:4" x14ac:dyDescent="0.3">
      <c r="A4" s="3" t="s">
        <v>13</v>
      </c>
      <c r="B4" s="7">
        <v>15737.97</v>
      </c>
      <c r="C4" s="7">
        <v>16951.810000000001</v>
      </c>
      <c r="D4" s="7">
        <v>13248</v>
      </c>
    </row>
    <row r="5" spans="1:4" x14ac:dyDescent="0.3">
      <c r="A5" s="3" t="s">
        <v>14</v>
      </c>
      <c r="B5" s="7">
        <v>40755.39</v>
      </c>
      <c r="C5" s="7">
        <v>47788.29</v>
      </c>
      <c r="D5" s="7">
        <v>47269</v>
      </c>
    </row>
    <row r="6" spans="1:4" x14ac:dyDescent="0.3">
      <c r="A6" s="3" t="s">
        <v>15</v>
      </c>
      <c r="B6" s="7">
        <v>72055.77</v>
      </c>
      <c r="C6" s="7">
        <v>88042.95</v>
      </c>
      <c r="D6" s="7">
        <v>93626</v>
      </c>
    </row>
    <row r="7" spans="1:4" x14ac:dyDescent="0.3">
      <c r="A7" s="3" t="s">
        <v>16</v>
      </c>
      <c r="B7" s="7">
        <v>226469.64</v>
      </c>
      <c r="C7" s="7">
        <v>272755.7</v>
      </c>
      <c r="D7" s="7">
        <v>271786</v>
      </c>
    </row>
    <row r="8" spans="1:4" x14ac:dyDescent="0.3">
      <c r="A8" s="3" t="s">
        <v>17</v>
      </c>
      <c r="C8" s="4">
        <v>434016</v>
      </c>
      <c r="D8" s="4">
        <v>439695</v>
      </c>
    </row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09EC-3E3C-4B0E-82BE-AEE16DA18992}">
  <dimension ref="A1:D11"/>
  <sheetViews>
    <sheetView workbookViewId="0">
      <selection activeCell="E14" sqref="E14"/>
    </sheetView>
  </sheetViews>
  <sheetFormatPr defaultRowHeight="14.4" x14ac:dyDescent="0.3"/>
  <cols>
    <col min="1" max="5" width="22" customWidth="1"/>
  </cols>
  <sheetData>
    <row r="1" spans="1:4" ht="14.4" customHeight="1" x14ac:dyDescent="0.3">
      <c r="A1" s="35" t="s">
        <v>25</v>
      </c>
      <c r="B1" s="35"/>
      <c r="C1" s="35"/>
      <c r="D1" s="35"/>
    </row>
    <row r="2" spans="1:4" x14ac:dyDescent="0.3">
      <c r="A2" s="35"/>
      <c r="B2" s="35"/>
      <c r="C2" s="35"/>
      <c r="D2" s="35"/>
    </row>
    <row r="3" spans="1:4" x14ac:dyDescent="0.3">
      <c r="A3" s="3" t="s">
        <v>18</v>
      </c>
      <c r="B3" s="3" t="s">
        <v>1</v>
      </c>
      <c r="C3" s="3" t="s">
        <v>2</v>
      </c>
      <c r="D3" s="3" t="s">
        <v>19</v>
      </c>
    </row>
    <row r="4" spans="1:4" x14ac:dyDescent="0.3">
      <c r="A4" s="3" t="s">
        <v>20</v>
      </c>
      <c r="C4" s="5">
        <f>(('Raw Data'!C4-'Raw Data'!B4)/'Raw Data'!B4)</f>
        <v>1.3084771068347711E-2</v>
      </c>
    </row>
    <row r="5" spans="1:4" x14ac:dyDescent="0.3">
      <c r="A5" s="3" t="s">
        <v>7</v>
      </c>
      <c r="B5" s="8">
        <f>'Raw Data'!B5/'Raw Data'!B4</f>
        <v>0.14099941015999409</v>
      </c>
      <c r="C5" s="5">
        <f>'Raw Data'!C5/'Raw Data'!C4</f>
        <v>0.13111133854148899</v>
      </c>
      <c r="D5" s="10">
        <f>(C5-B5)*100</f>
        <v>-0.98880716185051065</v>
      </c>
    </row>
    <row r="6" spans="1:4" x14ac:dyDescent="0.3">
      <c r="A6" s="3" t="s">
        <v>75</v>
      </c>
      <c r="B6" s="8">
        <f>'Raw Data'!B6/'Raw Data'!B4</f>
        <v>7.3285316670353165E-2</v>
      </c>
      <c r="C6" s="8">
        <f>'Raw Data'!C6/'Raw Data'!C4</f>
        <v>6.4019377068194994E-2</v>
      </c>
      <c r="D6" s="10">
        <f t="shared" ref="D6:D7" si="0">(C6-B6)*100</f>
        <v>-0.92659396021581708</v>
      </c>
    </row>
    <row r="7" spans="1:4" x14ac:dyDescent="0.3">
      <c r="A7" s="3" t="s">
        <v>8</v>
      </c>
      <c r="B7" s="5">
        <f>'Raw Data'!B8</f>
        <v>0.187</v>
      </c>
      <c r="C7" s="5">
        <f>'Raw Data'!C8</f>
        <v>0.17599999999999999</v>
      </c>
      <c r="D7" s="10">
        <f t="shared" si="0"/>
        <v>-1.100000000000001</v>
      </c>
    </row>
    <row r="8" spans="1:4" x14ac:dyDescent="0.3">
      <c r="A8" s="3" t="s">
        <v>21</v>
      </c>
      <c r="B8" s="9">
        <f>AVERAGE('Working Capital'!B4:C4)/'Working Capital'!C8*365</f>
        <v>13.745771699660841</v>
      </c>
      <c r="C8" s="9">
        <f>AVERAGE('Working Capital'!C4:D4)/'Working Capital'!D8*365</f>
        <v>12.534746415128669</v>
      </c>
      <c r="D8" s="11">
        <f>C8-B8</f>
        <v>-1.2110252845321714</v>
      </c>
    </row>
    <row r="9" spans="1:4" x14ac:dyDescent="0.3">
      <c r="A9" s="3" t="s">
        <v>22</v>
      </c>
      <c r="B9" s="9">
        <f>AVERAGE('Working Capital'!B5:C5)/'Working Capital'!C7*365</f>
        <v>59.244303968716324</v>
      </c>
      <c r="C9" s="9">
        <f>AVERAGE('Working Capital'!C5:D5)/'Working Capital'!D7*365</f>
        <v>63.829466657590906</v>
      </c>
      <c r="D9" s="11">
        <f>C9-B9</f>
        <v>4.5851626888745827</v>
      </c>
    </row>
    <row r="10" spans="1:4" x14ac:dyDescent="0.3">
      <c r="A10" s="3" t="s">
        <v>23</v>
      </c>
      <c r="B10" s="9">
        <f>AVERAGE('Working Capital'!B6:C6)/'Working Capital'!C7*365</f>
        <v>107.12156116260815</v>
      </c>
      <c r="C10" s="9">
        <f>AVERAGE('Working Capital'!C6:D6)/'Working Capital'!D7*365</f>
        <v>121.98782635970949</v>
      </c>
      <c r="D10" s="11">
        <f>C10-B10</f>
        <v>14.866265197101342</v>
      </c>
    </row>
    <row r="11" spans="1:4" x14ac:dyDescent="0.3">
      <c r="A11" s="3" t="s">
        <v>24</v>
      </c>
      <c r="B11" s="9">
        <f>B9+B8-B10</f>
        <v>-34.131485494230986</v>
      </c>
      <c r="C11" s="9">
        <f>C9+C8-C10</f>
        <v>-45.623613286989908</v>
      </c>
      <c r="D11" s="11">
        <f>C11-B11</f>
        <v>-11.492127792758922</v>
      </c>
    </row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2069-D5A1-4994-B7A7-ACE0842F783E}">
  <dimension ref="A1:H9"/>
  <sheetViews>
    <sheetView showGridLines="0" zoomScale="77" workbookViewId="0">
      <selection activeCell="O17" sqref="O17"/>
    </sheetView>
  </sheetViews>
  <sheetFormatPr defaultRowHeight="14.4" x14ac:dyDescent="0.3"/>
  <cols>
    <col min="1" max="8" width="24" customWidth="1"/>
  </cols>
  <sheetData>
    <row r="1" spans="1:8" s="12" customFormat="1" ht="35.4" customHeight="1" x14ac:dyDescent="0.55000000000000004">
      <c r="A1" s="36" t="s">
        <v>26</v>
      </c>
      <c r="B1" s="36"/>
      <c r="C1" s="36"/>
      <c r="D1" s="36"/>
      <c r="E1" s="36"/>
      <c r="F1" s="36"/>
      <c r="G1" s="36"/>
      <c r="H1" s="36"/>
    </row>
    <row r="2" spans="1:8" s="12" customFormat="1" ht="27" customHeight="1" x14ac:dyDescent="0.4">
      <c r="A2" s="37" t="s">
        <v>27</v>
      </c>
      <c r="B2" s="37"/>
      <c r="C2" s="37"/>
      <c r="D2" s="37"/>
      <c r="E2" s="37"/>
      <c r="F2" s="37"/>
      <c r="G2" s="37"/>
      <c r="H2" s="37"/>
    </row>
    <row r="3" spans="1:8" ht="15" thickBot="1" x14ac:dyDescent="0.35"/>
    <row r="4" spans="1:8" s="13" customFormat="1" ht="23.4" x14ac:dyDescent="0.45">
      <c r="A4" s="38" t="s">
        <v>20</v>
      </c>
      <c r="B4" s="39"/>
      <c r="C4" s="38" t="s">
        <v>7</v>
      </c>
      <c r="D4" s="39"/>
      <c r="E4" s="38" t="s">
        <v>75</v>
      </c>
      <c r="F4" s="39"/>
      <c r="G4" s="38" t="s">
        <v>8</v>
      </c>
      <c r="H4" s="39"/>
    </row>
    <row r="5" spans="1:8" s="16" customFormat="1" ht="26.4" customHeight="1" thickBot="1" x14ac:dyDescent="0.6">
      <c r="A5" s="42">
        <f>'KPI Calculations'!C4</f>
        <v>1.3084771068347711E-2</v>
      </c>
      <c r="B5" s="43"/>
      <c r="C5" s="42">
        <f>'KPI Calculations'!C5</f>
        <v>0.13111133854148899</v>
      </c>
      <c r="D5" s="43"/>
      <c r="E5" s="42">
        <f>'KPI Calculations'!C6</f>
        <v>6.4019377068194994E-2</v>
      </c>
      <c r="F5" s="43"/>
      <c r="G5" s="42">
        <f>'KPI Calculations'!C7</f>
        <v>0.17599999999999999</v>
      </c>
      <c r="H5" s="43"/>
    </row>
    <row r="7" spans="1:8" ht="15" thickBot="1" x14ac:dyDescent="0.35"/>
    <row r="8" spans="1:8" s="13" customFormat="1" ht="23.4" x14ac:dyDescent="0.45">
      <c r="A8" s="38" t="s">
        <v>21</v>
      </c>
      <c r="B8" s="39"/>
      <c r="C8" s="38" t="s">
        <v>22</v>
      </c>
      <c r="D8" s="39"/>
      <c r="E8" s="38" t="s">
        <v>23</v>
      </c>
      <c r="F8" s="39"/>
      <c r="G8" s="38" t="s">
        <v>24</v>
      </c>
      <c r="H8" s="39"/>
    </row>
    <row r="9" spans="1:8" s="15" customFormat="1" ht="25.8" customHeight="1" thickBot="1" x14ac:dyDescent="0.55000000000000004">
      <c r="A9" s="40">
        <f>'KPI Calculations'!C8</f>
        <v>12.534746415128669</v>
      </c>
      <c r="B9" s="41"/>
      <c r="C9" s="40">
        <f>'KPI Calculations'!C9</f>
        <v>63.829466657590906</v>
      </c>
      <c r="D9" s="41"/>
      <c r="E9" s="40">
        <f>'KPI Calculations'!C10</f>
        <v>121.98782635970949</v>
      </c>
      <c r="F9" s="41"/>
      <c r="G9" s="40">
        <f>'KPI Calculations'!C11</f>
        <v>-45.623613286989908</v>
      </c>
      <c r="H9" s="41"/>
    </row>
  </sheetData>
  <mergeCells count="18">
    <mergeCell ref="A9:B9"/>
    <mergeCell ref="C9:D9"/>
    <mergeCell ref="E9:F9"/>
    <mergeCell ref="G9:H9"/>
    <mergeCell ref="G5:H5"/>
    <mergeCell ref="E5:F5"/>
    <mergeCell ref="C5:D5"/>
    <mergeCell ref="A5:B5"/>
    <mergeCell ref="A8:B8"/>
    <mergeCell ref="C8:D8"/>
    <mergeCell ref="E8:F8"/>
    <mergeCell ref="G8:H8"/>
    <mergeCell ref="A1:H1"/>
    <mergeCell ref="A2:H2"/>
    <mergeCell ref="A4:B4"/>
    <mergeCell ref="C4:D4"/>
    <mergeCell ref="E4:F4"/>
    <mergeCell ref="G4:H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80F7-7CB4-48FE-A4C8-D6DE734C05E1}">
  <dimension ref="A1:G20"/>
  <sheetViews>
    <sheetView showGridLines="0" tabSelected="1" topLeftCell="A3" zoomScale="44" zoomScaleNormal="112" workbookViewId="0">
      <selection activeCell="D20" sqref="D20"/>
    </sheetView>
  </sheetViews>
  <sheetFormatPr defaultRowHeight="14.4" x14ac:dyDescent="0.3"/>
  <cols>
    <col min="1" max="1" width="33" customWidth="1"/>
    <col min="2" max="2" width="122.21875" customWidth="1"/>
    <col min="4" max="4" width="63.44140625" customWidth="1"/>
    <col min="5" max="5" width="31.77734375" customWidth="1"/>
    <col min="6" max="6" width="36.5546875" customWidth="1"/>
    <col min="7" max="7" width="33.5546875" customWidth="1"/>
  </cols>
  <sheetData>
    <row r="1" spans="1:7" ht="28.2" customHeight="1" x14ac:dyDescent="0.55000000000000004">
      <c r="A1" s="27" t="s">
        <v>28</v>
      </c>
      <c r="B1" s="28"/>
      <c r="D1" s="27" t="s">
        <v>54</v>
      </c>
      <c r="E1" s="27"/>
      <c r="F1" s="27"/>
      <c r="G1" s="27"/>
    </row>
    <row r="2" spans="1:7" ht="24.6" customHeight="1" x14ac:dyDescent="0.35">
      <c r="A2" s="29" t="s">
        <v>27</v>
      </c>
      <c r="B2" s="29"/>
      <c r="D2" s="27"/>
      <c r="E2" s="27"/>
      <c r="F2" s="27"/>
      <c r="G2" s="27"/>
    </row>
    <row r="4" spans="1:7" s="14" customFormat="1" ht="52.8" customHeight="1" x14ac:dyDescent="0.5">
      <c r="A4" s="20" t="s">
        <v>29</v>
      </c>
      <c r="B4" s="20" t="s">
        <v>30</v>
      </c>
      <c r="D4" s="20" t="s">
        <v>0</v>
      </c>
      <c r="E4" s="20" t="s">
        <v>55</v>
      </c>
      <c r="F4" s="20" t="s">
        <v>56</v>
      </c>
      <c r="G4" s="20" t="s">
        <v>57</v>
      </c>
    </row>
    <row r="5" spans="1:7" ht="21" x14ac:dyDescent="0.4">
      <c r="A5" s="18" t="s">
        <v>6</v>
      </c>
      <c r="B5" s="17" t="s">
        <v>39</v>
      </c>
      <c r="D5" s="25" t="s">
        <v>58</v>
      </c>
      <c r="E5" s="44">
        <v>439695</v>
      </c>
      <c r="F5" s="44">
        <v>159211</v>
      </c>
      <c r="G5" s="44">
        <v>145115</v>
      </c>
    </row>
    <row r="6" spans="1:7" ht="63" x14ac:dyDescent="0.4">
      <c r="A6" s="18" t="s">
        <v>31</v>
      </c>
      <c r="B6" s="17" t="s">
        <v>35</v>
      </c>
      <c r="D6" s="25" t="s">
        <v>59</v>
      </c>
      <c r="E6" s="44">
        <v>28149</v>
      </c>
      <c r="F6" s="44">
        <v>12929</v>
      </c>
      <c r="G6" s="44">
        <v>13955</v>
      </c>
    </row>
    <row r="7" spans="1:7" ht="42" x14ac:dyDescent="0.4">
      <c r="A7" s="18" t="s">
        <v>32</v>
      </c>
      <c r="B7" s="17" t="s">
        <v>36</v>
      </c>
      <c r="D7" s="25" t="s">
        <v>20</v>
      </c>
      <c r="E7" s="44">
        <v>1.2999999999999999E-2</v>
      </c>
      <c r="F7" s="44">
        <v>0.14000000000000001</v>
      </c>
      <c r="G7" s="44">
        <v>7.4999999999999997E-2</v>
      </c>
    </row>
    <row r="8" spans="1:7" ht="42" x14ac:dyDescent="0.4">
      <c r="A8" s="18" t="s">
        <v>33</v>
      </c>
      <c r="B8" s="17" t="s">
        <v>37</v>
      </c>
      <c r="D8" s="25" t="s">
        <v>60</v>
      </c>
      <c r="E8" s="44" t="s">
        <v>61</v>
      </c>
      <c r="F8" s="44" t="s">
        <v>62</v>
      </c>
      <c r="G8" s="44" t="s">
        <v>63</v>
      </c>
    </row>
    <row r="9" spans="1:7" ht="84" x14ac:dyDescent="0.4">
      <c r="A9" s="18" t="s">
        <v>34</v>
      </c>
      <c r="B9" s="17" t="s">
        <v>38</v>
      </c>
      <c r="E9" s="44"/>
      <c r="F9" s="44"/>
      <c r="G9" s="44"/>
    </row>
    <row r="10" spans="1:7" x14ac:dyDescent="0.3">
      <c r="D10" s="28" t="s">
        <v>64</v>
      </c>
      <c r="E10" s="31"/>
      <c r="F10" s="31"/>
      <c r="G10" s="31"/>
    </row>
    <row r="11" spans="1:7" x14ac:dyDescent="0.3">
      <c r="D11" s="31"/>
      <c r="E11" s="31"/>
      <c r="F11" s="31"/>
      <c r="G11" s="31"/>
    </row>
    <row r="12" spans="1:7" x14ac:dyDescent="0.3">
      <c r="A12" s="30" t="s">
        <v>40</v>
      </c>
      <c r="B12" s="30"/>
      <c r="D12" s="31"/>
      <c r="E12" s="31"/>
      <c r="F12" s="31"/>
      <c r="G12" s="31"/>
    </row>
    <row r="13" spans="1:7" ht="25.8" x14ac:dyDescent="0.3">
      <c r="A13" s="30"/>
      <c r="B13" s="30"/>
      <c r="D13" s="26" t="s">
        <v>65</v>
      </c>
      <c r="E13" s="32" t="s">
        <v>66</v>
      </c>
      <c r="F13" s="32"/>
      <c r="G13" s="32"/>
    </row>
    <row r="14" spans="1:7" s="13" customFormat="1" ht="28.8" customHeight="1" x14ac:dyDescent="0.45">
      <c r="A14" s="19" t="s">
        <v>29</v>
      </c>
      <c r="B14" s="19" t="s">
        <v>41</v>
      </c>
      <c r="D14" s="24" t="s">
        <v>67</v>
      </c>
      <c r="E14" s="45" t="s">
        <v>68</v>
      </c>
      <c r="F14" s="46"/>
      <c r="G14" s="47"/>
    </row>
    <row r="15" spans="1:7" ht="84" x14ac:dyDescent="0.3">
      <c r="A15" s="22" t="s">
        <v>42</v>
      </c>
      <c r="B15" s="21" t="s">
        <v>48</v>
      </c>
      <c r="D15" s="24" t="s">
        <v>69</v>
      </c>
      <c r="E15" s="45" t="s">
        <v>70</v>
      </c>
      <c r="F15" s="46"/>
      <c r="G15" s="47"/>
    </row>
    <row r="16" spans="1:7" ht="42" x14ac:dyDescent="0.4">
      <c r="A16" s="22" t="s">
        <v>43</v>
      </c>
      <c r="B16" s="17" t="s">
        <v>49</v>
      </c>
      <c r="D16" s="24" t="s">
        <v>71</v>
      </c>
      <c r="E16" s="45" t="s">
        <v>72</v>
      </c>
      <c r="F16" s="46"/>
      <c r="G16" s="47"/>
    </row>
    <row r="17" spans="1:7" ht="63" x14ac:dyDescent="0.4">
      <c r="A17" s="22" t="s">
        <v>44</v>
      </c>
      <c r="B17" s="17" t="s">
        <v>50</v>
      </c>
      <c r="D17" s="24" t="s">
        <v>73</v>
      </c>
      <c r="E17" s="45" t="s">
        <v>74</v>
      </c>
      <c r="F17" s="46"/>
      <c r="G17" s="47"/>
    </row>
    <row r="18" spans="1:7" ht="42" x14ac:dyDescent="0.4">
      <c r="A18" s="22" t="s">
        <v>45</v>
      </c>
      <c r="B18" s="17" t="s">
        <v>51</v>
      </c>
    </row>
    <row r="19" spans="1:7" ht="63" x14ac:dyDescent="0.4">
      <c r="A19" s="22" t="s">
        <v>46</v>
      </c>
      <c r="B19" s="17" t="s">
        <v>52</v>
      </c>
    </row>
    <row r="20" spans="1:7" ht="84" x14ac:dyDescent="0.3">
      <c r="A20" s="22" t="s">
        <v>47</v>
      </c>
      <c r="B20" s="23" t="s">
        <v>53</v>
      </c>
    </row>
  </sheetData>
  <mergeCells count="10">
    <mergeCell ref="E16:G16"/>
    <mergeCell ref="E17:G17"/>
    <mergeCell ref="A1:B1"/>
    <mergeCell ref="A2:B2"/>
    <mergeCell ref="A12:B13"/>
    <mergeCell ref="D1:G2"/>
    <mergeCell ref="D10:G12"/>
    <mergeCell ref="E13:G13"/>
    <mergeCell ref="E14:G14"/>
    <mergeCell ref="E15:G15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Working Capital</vt:lpstr>
      <vt:lpstr>KPI Calculations</vt:lpstr>
      <vt:lpstr>Dashboard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shukla</dc:creator>
  <cp:lastModifiedBy>pallavi shukla</cp:lastModifiedBy>
  <dcterms:created xsi:type="dcterms:W3CDTF">2026-08-11T11:35:04Z</dcterms:created>
  <dcterms:modified xsi:type="dcterms:W3CDTF">2026-08-14T14:38:59Z</dcterms:modified>
</cp:coreProperties>
</file>